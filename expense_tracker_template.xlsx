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4EA9E97-85AF-46B4-A630-AE9863F2A8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4" r:id="rId1"/>
    <sheet name="Expense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D33" i="1"/>
  <c r="D31" i="1"/>
  <c r="D32" i="1"/>
  <c r="D35" i="1"/>
  <c r="D36" i="1"/>
  <c r="D37" i="1"/>
  <c r="D38" i="1"/>
  <c r="D39" i="1"/>
  <c r="D40" i="1"/>
  <c r="D41" i="1"/>
  <c r="D42" i="1"/>
  <c r="D28" i="1"/>
  <c r="D29" i="1"/>
  <c r="D30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<sst xmlns="http://schemas.openxmlformats.org/spreadsheetml/2006/main" count="120" uniqueCount="41">
  <si>
    <t>Date</t>
  </si>
  <si>
    <t>Particulars</t>
  </si>
  <si>
    <t>Amount paid</t>
  </si>
  <si>
    <t>Total expenses</t>
  </si>
  <si>
    <t>Mode of payment</t>
  </si>
  <si>
    <t>Notes</t>
  </si>
  <si>
    <t>Category</t>
  </si>
  <si>
    <t>Rajkot to Ahmedabad - GSRTC Volvo</t>
  </si>
  <si>
    <t>Online</t>
  </si>
  <si>
    <t>Bus / GSRTC</t>
  </si>
  <si>
    <t>Iphone Case</t>
  </si>
  <si>
    <t>Paid to Flipkart</t>
  </si>
  <si>
    <t>Shopping</t>
  </si>
  <si>
    <t>Rapido: Home Haven to K P Epitome</t>
  </si>
  <si>
    <t>Rapido</t>
  </si>
  <si>
    <t>Rapido: K P Epitome to Home Haven</t>
  </si>
  <si>
    <t>Soap + snack bhakrvadi</t>
  </si>
  <si>
    <t>Self care ? Hell na</t>
  </si>
  <si>
    <t>Food</t>
  </si>
  <si>
    <t>Sugar Cane Juice</t>
  </si>
  <si>
    <t>Bus:Ahmd to Rajkot</t>
  </si>
  <si>
    <t>paid to umang</t>
  </si>
  <si>
    <t>Bus</t>
  </si>
  <si>
    <t>Rapido: Home to Marwadi</t>
  </si>
  <si>
    <t>Lunch: 2 dhokla 1 hide n seek</t>
  </si>
  <si>
    <t>Farewell</t>
  </si>
  <si>
    <t>Events</t>
  </si>
  <si>
    <t>Recharge 49</t>
  </si>
  <si>
    <t>Recharge</t>
  </si>
  <si>
    <t>Bus Rajkot to Ahmedabad</t>
  </si>
  <si>
    <t>paid to ritesh</t>
  </si>
  <si>
    <t>Flipkart: DualShock Controller</t>
  </si>
  <si>
    <t>Xerox + glue+ nail cutter</t>
  </si>
  <si>
    <t>Cash</t>
  </si>
  <si>
    <t>Sprite + Fanta</t>
  </si>
  <si>
    <t>Send to Adii</t>
  </si>
  <si>
    <t>Transfer</t>
  </si>
  <si>
    <t>Row Labels</t>
  </si>
  <si>
    <t>Grand Total</t>
  </si>
  <si>
    <t>Sum of Amount paid</t>
  </si>
  <si>
    <t>Ice cream:chocolate 120Ml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</si>
</sst>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1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[expense_tracker_template.xlsx]Sheet3!PivotTable3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Bus</c:v>
                </c:pt>
                <c:pt idx="1">
                  <c:v>Bus / GSRTC</c:v>
                </c:pt>
                <c:pt idx="2">
                  <c:v>Events</c:v>
                </c:pt>
                <c:pt idx="3">
                  <c:v>Food</c:v>
                </c:pt>
                <c:pt idx="4">
                  <c:v>Rapido</c:v>
                </c:pt>
                <c:pt idx="5">
                  <c:v>Recharge</c:v>
                </c:pt>
                <c:pt idx="6">
                  <c:v>Shopping</c:v>
                </c:pt>
                <c:pt idx="7">
                  <c:v>Transfer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416</c:v>
                </c:pt>
                <c:pt idx="1">
                  <c:v>0</c:v>
                </c:pt>
                <c:pt idx="2">
                  <c:v>580</c:v>
                </c:pt>
                <c:pt idx="3">
                  <c:v>415</c:v>
                </c:pt>
                <c:pt idx="4">
                  <c:v>658</c:v>
                </c:pt>
                <c:pt idx="5">
                  <c:v>49</c:v>
                </c:pt>
                <c:pt idx="6">
                  <c:v>1148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3-40C1-A2F9-BC5DE9160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992160"/>
        <c:axId val="1991984480"/>
      </c:barChart>
      <c:catAx>
        <c:axId val="19919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984480"/>
        <c:crosses val="autoZero"/>
        <c:auto val="1"/>
        <c:lblAlgn val="ctr"/>
        <c:lblOffset val="100"/>
        <c:noMultiLvlLbl val="0"/>
      </c:catAx>
      <c:valAx>
        <c:axId val="199198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99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0</xdr:row>
      <xdr:rowOff>95250</xdr:rowOff>
    </xdr:from>
    <xdr:to>
      <xdr:col>10</xdr:col>
      <xdr:colOff>525780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E220D-4B34-4890-35ED-273A30C7F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yan" refreshedDate="46091.876228935187" createdVersion="8" refreshedVersion="8" minRefreshableVersion="3" recordCount="26" xr:uid="{ADAF58FF-936D-453B-9972-44D9A302BD89}">
  <cacheSource type="worksheet">
    <worksheetSource ref="A1:G27" sheet="Expenses"/>
  </cacheSource>
  <cacheFields count="7">
    <cacheField name="Date" numFmtId="0">
      <sharedItems containsDate="1" containsMixedTypes="1" minDate="2025-12-30T00:00:00" maxDate="2026-03-11T00:00:00"/>
    </cacheField>
    <cacheField name="Particulars" numFmtId="0">
      <sharedItems/>
    </cacheField>
    <cacheField name="Amount paid" numFmtId="0">
      <sharedItems containsSemiMixedTypes="0" containsString="0" containsNumber="1" containsInteger="1" minValue="0" maxValue="895"/>
    </cacheField>
    <cacheField name="Total expenses" numFmtId="0">
      <sharedItems containsSemiMixedTypes="0" containsString="0" containsNumber="1" containsInteger="1" minValue="0" maxValue="3266"/>
    </cacheField>
    <cacheField name="Mode of payment" numFmtId="0">
      <sharedItems/>
    </cacheField>
    <cacheField name="Notes" numFmtId="0">
      <sharedItems containsBlank="1"/>
    </cacheField>
    <cacheField name="Category" numFmtId="0">
      <sharedItems count="8">
        <s v="Bus / GSRTC"/>
        <s v="Shopping"/>
        <s v="Rapido"/>
        <s v="Food"/>
        <s v="Bus"/>
        <s v="Events"/>
        <s v="Recharge"/>
        <s v="Transf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d v="2025-12-30T00:00:00"/>
    <s v="Rajkot to Ahmedabad - GSRTC Volvo"/>
    <n v="0"/>
    <n v="0"/>
    <s v="Online"/>
    <m/>
    <x v="0"/>
  </r>
  <r>
    <d v="2026-03-01T00:00:00"/>
    <s v="Iphone Case"/>
    <n v="161"/>
    <n v="0"/>
    <s v="Online"/>
    <s v="Paid to Flipkart"/>
    <x v="1"/>
  </r>
  <r>
    <d v="2026-03-02T00:00:00"/>
    <s v="Rapido: Home Haven to K P Epitome"/>
    <n v="41"/>
    <n v="161"/>
    <s v="Online"/>
    <m/>
    <x v="2"/>
  </r>
  <r>
    <d v="2026-03-02T00:00:00"/>
    <s v="Rapido: K P Epitome to Home Haven"/>
    <n v="59"/>
    <n v="202"/>
    <s v="Online"/>
    <m/>
    <x v="2"/>
  </r>
  <r>
    <d v="2026-03-03T00:00:00"/>
    <s v="Rapido: Home Haven to K P Epitome"/>
    <n v="34"/>
    <n v="261"/>
    <s v="Online"/>
    <m/>
    <x v="2"/>
  </r>
  <r>
    <d v="2026-03-03T00:00:00"/>
    <s v="Rapido: K P Epitome to Home Haven"/>
    <n v="59"/>
    <n v="295"/>
    <s v="Online"/>
    <m/>
    <x v="2"/>
  </r>
  <r>
    <d v="2026-03-05T00:00:00"/>
    <s v="Rapido: Home Haven to K P Epitome"/>
    <n v="41"/>
    <n v="354"/>
    <s v="Online"/>
    <m/>
    <x v="2"/>
  </r>
  <r>
    <d v="2026-03-05T00:00:00"/>
    <s v="Rapido: K P Epitome to Home Haven"/>
    <n v="50"/>
    <n v="395"/>
    <s v="Online"/>
    <m/>
    <x v="2"/>
  </r>
  <r>
    <d v="2026-03-05T00:00:00"/>
    <s v="Soap + snack bhakrvadi"/>
    <n v="85"/>
    <n v="445"/>
    <s v="Online"/>
    <s v="Self care ? Hell na"/>
    <x v="3"/>
  </r>
  <r>
    <d v="2026-03-06T00:00:00"/>
    <s v="Rapido: Home Haven to K P Epitome"/>
    <n v="34"/>
    <n v="530"/>
    <s v="Online"/>
    <m/>
    <x v="2"/>
  </r>
  <r>
    <d v="2026-03-06T00:00:00"/>
    <s v="Rapido: K P Epitome to Home Haven"/>
    <n v="41"/>
    <n v="564"/>
    <s v="Online"/>
    <m/>
    <x v="2"/>
  </r>
  <r>
    <d v="2026-03-07T00:00:00"/>
    <s v="Sugar Cane Juice"/>
    <n v="160"/>
    <n v="605"/>
    <s v="Online"/>
    <m/>
    <x v="3"/>
  </r>
  <r>
    <d v="2026-03-07T00:00:00"/>
    <s v="Bus:Ahmd to Rajkot"/>
    <n v="208"/>
    <n v="765"/>
    <s v="Online"/>
    <s v="paid to umang"/>
    <x v="4"/>
  </r>
  <r>
    <d v="2026-03-07T00:00:00"/>
    <s v="Rapido: Home to Marwadi"/>
    <n v="116"/>
    <n v="973"/>
    <s v="Online"/>
    <m/>
    <x v="2"/>
  </r>
  <r>
    <d v="2026-03-07T00:00:00"/>
    <s v="Lunch: 2 dhokla 1 hide n seek"/>
    <n v="90"/>
    <n v="1089"/>
    <s v="Online"/>
    <m/>
    <x v="3"/>
  </r>
  <r>
    <d v="2026-03-07T00:00:00"/>
    <s v="Farewell"/>
    <n v="580"/>
    <n v="1179"/>
    <s v="Online"/>
    <m/>
    <x v="5"/>
  </r>
  <r>
    <d v="2026-03-08T00:00:00"/>
    <s v="Recharge 49"/>
    <n v="49"/>
    <n v="1759"/>
    <s v="Online"/>
    <m/>
    <x v="6"/>
  </r>
  <r>
    <d v="2026-03-08T00:00:00"/>
    <s v="Bus Rajkot to Ahmedabad"/>
    <n v="208"/>
    <n v="1808"/>
    <s v="Online"/>
    <s v="paid to ritesh"/>
    <x v="4"/>
  </r>
  <r>
    <s v="ETA :24-03-2026"/>
    <s v="Flipkart: DualShock Controller"/>
    <n v="895"/>
    <n v="2016"/>
    <s v="Online"/>
    <m/>
    <x v="1"/>
  </r>
  <r>
    <d v="2026-03-09T00:00:00"/>
    <s v="Rapido: Home Haven to K P Epitome"/>
    <n v="41"/>
    <n v="2911"/>
    <s v="Online"/>
    <m/>
    <x v="2"/>
  </r>
  <r>
    <d v="2026-03-09T00:00:00"/>
    <s v="Rapido: K P Epitome to Home Haven"/>
    <n v="67"/>
    <n v="2952"/>
    <s v="Online"/>
    <m/>
    <x v="2"/>
  </r>
  <r>
    <d v="2026-03-09T00:00:00"/>
    <s v="Xerox + glue+ nail cutter"/>
    <n v="92"/>
    <n v="3019"/>
    <s v="Cash"/>
    <m/>
    <x v="1"/>
  </r>
  <r>
    <d v="2026-03-08T00:00:00"/>
    <s v="Sprite + Fanta"/>
    <n v="80"/>
    <n v="3111"/>
    <s v="Online"/>
    <m/>
    <x v="3"/>
  </r>
  <r>
    <d v="2026-03-10T00:00:00"/>
    <s v="Rapido: Home Haven to K P Epitome"/>
    <n v="34"/>
    <n v="3191"/>
    <s v="Online"/>
    <m/>
    <x v="2"/>
  </r>
  <r>
    <d v="2026-03-10T00:00:00"/>
    <s v="Rapido: K P Epitome to Home Haven"/>
    <n v="41"/>
    <n v="3225"/>
    <s v="Online"/>
    <m/>
    <x v="2"/>
  </r>
  <r>
    <d v="2026-03-10T00:00:00"/>
    <s v="Send to Adii"/>
    <n v="100"/>
    <n v="3266"/>
    <s v="Online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78827-8F4F-4005-9B8F-37742CE3BA3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7">
    <pivotField showAll="0"/>
    <pivotField showAll="0"/>
    <pivotField dataField="1" showAll="0"/>
    <pivotField showAll="0"/>
    <pivotField showAll="0"/>
    <pivotField showAll="0"/>
    <pivotField axis="axisRow" showAll="0">
      <items count="9">
        <item x="4"/>
        <item x="0"/>
        <item x="5"/>
        <item x="3"/>
        <item x="2"/>
        <item x="6"/>
        <item x="1"/>
        <item x="7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 paid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9AA1-6FDD-4251-ACC9-B13FEF895B9C}">
  <dimension ref="A3:B12"/>
  <sheetViews>
    <sheetView workbookViewId="0">
      <selection activeCell="M10" sqref="M10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1" t="s">
        <v>37</v>
      </c>
      <c r="B3" t="s">
        <v>39</v>
      </c>
    </row>
    <row r="4" spans="1:2" x14ac:dyDescent="0.3">
      <c r="A4" s="2" t="s">
        <v>22</v>
      </c>
      <c r="B4">
        <v>416</v>
      </c>
    </row>
    <row r="5" spans="1:2" x14ac:dyDescent="0.3">
      <c r="A5" s="2" t="s">
        <v>9</v>
      </c>
      <c r="B5">
        <v>0</v>
      </c>
    </row>
    <row r="6" spans="1:2" x14ac:dyDescent="0.3">
      <c r="A6" s="2" t="s">
        <v>26</v>
      </c>
      <c r="B6">
        <v>580</v>
      </c>
    </row>
    <row r="7" spans="1:2" x14ac:dyDescent="0.3">
      <c r="A7" s="2" t="s">
        <v>18</v>
      </c>
      <c r="B7">
        <v>415</v>
      </c>
    </row>
    <row r="8" spans="1:2" x14ac:dyDescent="0.3">
      <c r="A8" s="2" t="s">
        <v>14</v>
      </c>
      <c r="B8">
        <v>658</v>
      </c>
    </row>
    <row r="9" spans="1:2" x14ac:dyDescent="0.3">
      <c r="A9" s="2" t="s">
        <v>28</v>
      </c>
      <c r="B9">
        <v>49</v>
      </c>
    </row>
    <row r="10" spans="1:2" x14ac:dyDescent="0.3">
      <c r="A10" s="2" t="s">
        <v>12</v>
      </c>
      <c r="B10">
        <v>1148</v>
      </c>
    </row>
    <row r="11" spans="1:2" x14ac:dyDescent="0.3">
      <c r="A11" s="2" t="s">
        <v>36</v>
      </c>
      <c r="B11">
        <v>100</v>
      </c>
    </row>
    <row r="12" spans="1:2" x14ac:dyDescent="0.3">
      <c r="A12" s="2" t="s">
        <v>38</v>
      </c>
      <c r="B12">
        <v>3366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5" workbookViewId="0">
      <selection activeCell="E20" sqref="E20"/>
    </sheetView>
  </sheetViews>
  <sheetFormatPr defaultRowHeight="14.4" x14ac:dyDescent="0.3"/>
  <cols>
    <col min="1" max="1" width="10.33203125" bestFit="1" customWidth="1"/>
    <col min="2" max="2" width="36.21875" customWidth="1"/>
    <col min="3" max="3" width="13.33203125" customWidth="1"/>
    <col min="4" max="4" width="15" customWidth="1"/>
    <col min="5" max="5" width="21" customWidth="1"/>
    <col min="6" max="6" width="18.21875" customWidth="1"/>
    <col min="7" max="7" width="13.332031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>
        <v>46021</v>
      </c>
      <c r="B2" s="5" t="s">
        <v>7</v>
      </c>
      <c r="C2" s="5">
        <v>0</v>
      </c>
      <c r="D2" s="5">
        <f>SUM($C1:C$2)</f>
        <v>0</v>
      </c>
      <c r="E2" s="5" t="s">
        <v>8</v>
      </c>
      <c r="F2" s="5"/>
      <c r="G2" s="5" t="s">
        <v>9</v>
      </c>
    </row>
    <row r="3" spans="1:7" x14ac:dyDescent="0.3">
      <c r="A3" s="4">
        <v>46082</v>
      </c>
      <c r="B3" s="5" t="s">
        <v>10</v>
      </c>
      <c r="C3" s="5">
        <v>161</v>
      </c>
      <c r="D3" s="5">
        <f>SUM($C2:C$2)</f>
        <v>0</v>
      </c>
      <c r="E3" s="5" t="s">
        <v>8</v>
      </c>
      <c r="F3" s="5" t="s">
        <v>11</v>
      </c>
      <c r="G3" s="5" t="s">
        <v>12</v>
      </c>
    </row>
    <row r="4" spans="1:7" x14ac:dyDescent="0.3">
      <c r="A4" s="4">
        <v>46083</v>
      </c>
      <c r="B4" s="5" t="s">
        <v>13</v>
      </c>
      <c r="C4" s="5">
        <v>41</v>
      </c>
      <c r="D4" s="5">
        <f>SUM($C$2:C3)</f>
        <v>161</v>
      </c>
      <c r="E4" s="5" t="s">
        <v>8</v>
      </c>
      <c r="F4" s="5"/>
      <c r="G4" s="5" t="s">
        <v>14</v>
      </c>
    </row>
    <row r="5" spans="1:7" x14ac:dyDescent="0.3">
      <c r="A5" s="4">
        <v>46083</v>
      </c>
      <c r="B5" s="5" t="s">
        <v>15</v>
      </c>
      <c r="C5" s="5">
        <v>59</v>
      </c>
      <c r="D5" s="5">
        <f>SUM($C$2:C4)</f>
        <v>202</v>
      </c>
      <c r="E5" s="5" t="s">
        <v>8</v>
      </c>
      <c r="F5" s="5"/>
      <c r="G5" s="5" t="s">
        <v>14</v>
      </c>
    </row>
    <row r="6" spans="1:7" x14ac:dyDescent="0.3">
      <c r="A6" s="4">
        <v>46084</v>
      </c>
      <c r="B6" s="5" t="s">
        <v>13</v>
      </c>
      <c r="C6" s="5">
        <v>34</v>
      </c>
      <c r="D6" s="5">
        <f>SUM($C$2:C5)</f>
        <v>261</v>
      </c>
      <c r="E6" s="5" t="s">
        <v>8</v>
      </c>
      <c r="F6" s="5"/>
      <c r="G6" s="5" t="s">
        <v>14</v>
      </c>
    </row>
    <row r="7" spans="1:7" x14ac:dyDescent="0.3">
      <c r="A7" s="4">
        <v>46084</v>
      </c>
      <c r="B7" s="5" t="s">
        <v>15</v>
      </c>
      <c r="C7" s="5">
        <v>59</v>
      </c>
      <c r="D7" s="5">
        <f>SUM($C$2:C6)</f>
        <v>295</v>
      </c>
      <c r="E7" s="5" t="s">
        <v>8</v>
      </c>
      <c r="F7" s="5"/>
      <c r="G7" s="5" t="s">
        <v>14</v>
      </c>
    </row>
    <row r="8" spans="1:7" x14ac:dyDescent="0.3">
      <c r="A8" s="4">
        <v>46086</v>
      </c>
      <c r="B8" s="5" t="s">
        <v>13</v>
      </c>
      <c r="C8" s="5">
        <v>41</v>
      </c>
      <c r="D8" s="5">
        <f>SUM($C$2:C7)</f>
        <v>354</v>
      </c>
      <c r="E8" s="5" t="s">
        <v>8</v>
      </c>
      <c r="F8" s="5"/>
      <c r="G8" s="5" t="s">
        <v>14</v>
      </c>
    </row>
    <row r="9" spans="1:7" x14ac:dyDescent="0.3">
      <c r="A9" s="4">
        <v>46086</v>
      </c>
      <c r="B9" s="5" t="s">
        <v>15</v>
      </c>
      <c r="C9" s="5">
        <v>50</v>
      </c>
      <c r="D9" s="5">
        <f>SUM($C$2:C8)</f>
        <v>395</v>
      </c>
      <c r="E9" s="5" t="s">
        <v>8</v>
      </c>
      <c r="F9" s="5"/>
      <c r="G9" s="5" t="s">
        <v>14</v>
      </c>
    </row>
    <row r="10" spans="1:7" x14ac:dyDescent="0.3">
      <c r="A10" s="4">
        <v>46086</v>
      </c>
      <c r="B10" s="5" t="s">
        <v>16</v>
      </c>
      <c r="C10" s="5">
        <v>85</v>
      </c>
      <c r="D10" s="5">
        <f>SUM($C$2:C9)</f>
        <v>445</v>
      </c>
      <c r="E10" s="5" t="s">
        <v>8</v>
      </c>
      <c r="F10" s="5" t="s">
        <v>17</v>
      </c>
      <c r="G10" s="5" t="s">
        <v>18</v>
      </c>
    </row>
    <row r="11" spans="1:7" x14ac:dyDescent="0.3">
      <c r="A11" s="4">
        <v>46087</v>
      </c>
      <c r="B11" s="5" t="s">
        <v>13</v>
      </c>
      <c r="C11" s="5">
        <v>34</v>
      </c>
      <c r="D11" s="5">
        <f>SUM($C$2:C10)</f>
        <v>530</v>
      </c>
      <c r="E11" s="5" t="s">
        <v>8</v>
      </c>
      <c r="F11" s="5"/>
      <c r="G11" s="5" t="s">
        <v>14</v>
      </c>
    </row>
    <row r="12" spans="1:7" x14ac:dyDescent="0.3">
      <c r="A12" s="4">
        <v>46087</v>
      </c>
      <c r="B12" s="5" t="s">
        <v>15</v>
      </c>
      <c r="C12" s="5">
        <v>41</v>
      </c>
      <c r="D12" s="5">
        <f>SUM($C$2:C11)</f>
        <v>564</v>
      </c>
      <c r="E12" s="5" t="s">
        <v>8</v>
      </c>
      <c r="F12" s="5"/>
      <c r="G12" s="5" t="s">
        <v>14</v>
      </c>
    </row>
    <row r="13" spans="1:7" x14ac:dyDescent="0.3">
      <c r="A13" s="4">
        <v>46088</v>
      </c>
      <c r="B13" s="5" t="s">
        <v>19</v>
      </c>
      <c r="C13" s="5">
        <v>160</v>
      </c>
      <c r="D13" s="5">
        <f>SUM($C$2:C12)</f>
        <v>605</v>
      </c>
      <c r="E13" s="5" t="s">
        <v>8</v>
      </c>
      <c r="F13" s="5"/>
      <c r="G13" s="5" t="s">
        <v>18</v>
      </c>
    </row>
    <row r="14" spans="1:7" x14ac:dyDescent="0.3">
      <c r="A14" s="4">
        <v>46088</v>
      </c>
      <c r="B14" s="5" t="s">
        <v>20</v>
      </c>
      <c r="C14" s="5">
        <v>208</v>
      </c>
      <c r="D14" s="5">
        <f>SUM($C$2:C13)</f>
        <v>765</v>
      </c>
      <c r="E14" s="5" t="s">
        <v>8</v>
      </c>
      <c r="F14" s="5" t="s">
        <v>21</v>
      </c>
      <c r="G14" s="5" t="s">
        <v>22</v>
      </c>
    </row>
    <row r="15" spans="1:7" x14ac:dyDescent="0.3">
      <c r="A15" s="4">
        <v>46088</v>
      </c>
      <c r="B15" s="5" t="s">
        <v>23</v>
      </c>
      <c r="C15" s="5">
        <v>116</v>
      </c>
      <c r="D15" s="5">
        <f>SUM($C$2:C14)</f>
        <v>973</v>
      </c>
      <c r="E15" s="5" t="s">
        <v>8</v>
      </c>
      <c r="F15" s="5"/>
      <c r="G15" s="5" t="s">
        <v>14</v>
      </c>
    </row>
    <row r="16" spans="1:7" x14ac:dyDescent="0.3">
      <c r="A16" s="4">
        <v>46088</v>
      </c>
      <c r="B16" s="5" t="s">
        <v>24</v>
      </c>
      <c r="C16" s="5">
        <v>90</v>
      </c>
      <c r="D16" s="5">
        <f>SUM($C$2:C15)</f>
        <v>1089</v>
      </c>
      <c r="E16" s="5" t="s">
        <v>8</v>
      </c>
      <c r="F16" s="5"/>
      <c r="G16" s="5" t="s">
        <v>18</v>
      </c>
    </row>
    <row r="17" spans="1:7" x14ac:dyDescent="0.3">
      <c r="A17" s="4">
        <v>46088</v>
      </c>
      <c r="B17" s="5" t="s">
        <v>25</v>
      </c>
      <c r="C17" s="5">
        <v>580</v>
      </c>
      <c r="D17" s="5">
        <f>SUM($C$2:C16)</f>
        <v>1179</v>
      </c>
      <c r="E17" s="5" t="s">
        <v>8</v>
      </c>
      <c r="F17" s="5"/>
      <c r="G17" s="5" t="s">
        <v>26</v>
      </c>
    </row>
    <row r="18" spans="1:7" x14ac:dyDescent="0.3">
      <c r="A18" s="4">
        <v>46089</v>
      </c>
      <c r="B18" s="5" t="s">
        <v>27</v>
      </c>
      <c r="C18" s="5">
        <v>49</v>
      </c>
      <c r="D18" s="5">
        <f>SUM($C$2:C17)</f>
        <v>1759</v>
      </c>
      <c r="E18" s="5" t="s">
        <v>8</v>
      </c>
      <c r="F18" s="5"/>
      <c r="G18" s="5" t="s">
        <v>28</v>
      </c>
    </row>
    <row r="19" spans="1:7" x14ac:dyDescent="0.3">
      <c r="A19" s="4">
        <v>46089</v>
      </c>
      <c r="B19" s="5" t="s">
        <v>29</v>
      </c>
      <c r="C19" s="5">
        <v>208</v>
      </c>
      <c r="D19" s="5">
        <f>SUM($C$2:C18)</f>
        <v>1808</v>
      </c>
      <c r="E19" s="5" t="s">
        <v>8</v>
      </c>
      <c r="F19" s="5" t="s">
        <v>30</v>
      </c>
      <c r="G19" s="5" t="s">
        <v>22</v>
      </c>
    </row>
    <row r="20" spans="1:7" x14ac:dyDescent="0.3">
      <c r="A20" s="12">
        <v>46094</v>
      </c>
      <c r="B20" s="5" t="s">
        <v>31</v>
      </c>
      <c r="C20" s="5">
        <v>895</v>
      </c>
      <c r="D20" s="5">
        <f>SUM($C$2:C19)</f>
        <v>2016</v>
      </c>
      <c r="E20" s="5" t="s">
        <v>8</v>
      </c>
      <c r="F20" s="5"/>
      <c r="G20" s="5" t="s">
        <v>12</v>
      </c>
    </row>
    <row r="21" spans="1:7" x14ac:dyDescent="0.3">
      <c r="A21" s="4">
        <v>46090</v>
      </c>
      <c r="B21" s="5" t="s">
        <v>13</v>
      </c>
      <c r="C21" s="5">
        <v>41</v>
      </c>
      <c r="D21" s="5">
        <f>SUM($C$2:C20)</f>
        <v>2911</v>
      </c>
      <c r="E21" s="5" t="s">
        <v>8</v>
      </c>
      <c r="F21" s="5"/>
      <c r="G21" s="5" t="s">
        <v>14</v>
      </c>
    </row>
    <row r="22" spans="1:7" x14ac:dyDescent="0.3">
      <c r="A22" s="4">
        <v>46090</v>
      </c>
      <c r="B22" s="5" t="s">
        <v>15</v>
      </c>
      <c r="C22" s="5">
        <v>67</v>
      </c>
      <c r="D22" s="5">
        <f>SUM($C$2:C21)</f>
        <v>2952</v>
      </c>
      <c r="E22" s="5" t="s">
        <v>8</v>
      </c>
      <c r="F22" s="5"/>
      <c r="G22" s="5" t="s">
        <v>14</v>
      </c>
    </row>
    <row r="23" spans="1:7" x14ac:dyDescent="0.3">
      <c r="A23" s="4">
        <v>46090</v>
      </c>
      <c r="B23" s="5" t="s">
        <v>32</v>
      </c>
      <c r="C23" s="5">
        <v>92</v>
      </c>
      <c r="D23" s="5">
        <f>SUM($C$2:C22)</f>
        <v>3019</v>
      </c>
      <c r="E23" s="5" t="s">
        <v>33</v>
      </c>
      <c r="F23" s="5"/>
      <c r="G23" s="5" t="s">
        <v>12</v>
      </c>
    </row>
    <row r="24" spans="1:7" x14ac:dyDescent="0.3">
      <c r="A24" s="4">
        <v>46089</v>
      </c>
      <c r="B24" s="5" t="s">
        <v>34</v>
      </c>
      <c r="C24" s="5">
        <v>80</v>
      </c>
      <c r="D24" s="5">
        <f>SUM($C$2:C23)</f>
        <v>3111</v>
      </c>
      <c r="E24" s="5" t="s">
        <v>8</v>
      </c>
      <c r="F24" s="5"/>
      <c r="G24" s="5" t="s">
        <v>18</v>
      </c>
    </row>
    <row r="25" spans="1:7" x14ac:dyDescent="0.3">
      <c r="A25" s="4">
        <v>46091</v>
      </c>
      <c r="B25" s="5" t="s">
        <v>13</v>
      </c>
      <c r="C25" s="5">
        <v>34</v>
      </c>
      <c r="D25" s="5">
        <f>SUM($C$2:C24)</f>
        <v>3191</v>
      </c>
      <c r="E25" s="5" t="s">
        <v>8</v>
      </c>
      <c r="F25" s="5"/>
      <c r="G25" s="5" t="s">
        <v>14</v>
      </c>
    </row>
    <row r="26" spans="1:7" x14ac:dyDescent="0.3">
      <c r="A26" s="4">
        <v>46091</v>
      </c>
      <c r="B26" s="5" t="s">
        <v>15</v>
      </c>
      <c r="C26" s="5">
        <v>41</v>
      </c>
      <c r="D26" s="5">
        <f>SUM($C$2:C25)</f>
        <v>3225</v>
      </c>
      <c r="E26" s="5" t="s">
        <v>8</v>
      </c>
      <c r="F26" s="5"/>
      <c r="G26" s="5" t="s">
        <v>14</v>
      </c>
    </row>
    <row r="27" spans="1:7" x14ac:dyDescent="0.3">
      <c r="A27" s="4">
        <v>46091</v>
      </c>
      <c r="B27" s="5" t="s">
        <v>35</v>
      </c>
      <c r="C27" s="5">
        <v>100</v>
      </c>
      <c r="D27" s="5">
        <f>SUM($C$2:C26)</f>
        <v>3266</v>
      </c>
      <c r="E27" s="5" t="s">
        <v>8</v>
      </c>
      <c r="F27" s="5"/>
      <c r="G27" s="5" t="s">
        <v>36</v>
      </c>
    </row>
    <row r="28" spans="1:7" x14ac:dyDescent="0.3">
      <c r="A28" s="6">
        <v>46092</v>
      </c>
      <c r="B28" s="7" t="s">
        <v>13</v>
      </c>
      <c r="C28" s="7">
        <v>34</v>
      </c>
      <c r="D28" s="5">
        <f>SUM($C$2:C27)</f>
        <v>3366</v>
      </c>
      <c r="E28" s="7" t="s">
        <v>8</v>
      </c>
      <c r="F28" s="7"/>
      <c r="G28" s="8" t="s">
        <v>14</v>
      </c>
    </row>
    <row r="29" spans="1:7" x14ac:dyDescent="0.3">
      <c r="A29" s="9">
        <v>46092</v>
      </c>
      <c r="B29" s="10" t="s">
        <v>15</v>
      </c>
      <c r="C29" s="10">
        <v>59</v>
      </c>
      <c r="D29" s="5">
        <f>SUM($C$2:C28)</f>
        <v>3400</v>
      </c>
      <c r="E29" s="10" t="s">
        <v>8</v>
      </c>
      <c r="F29" s="10"/>
      <c r="G29" s="11" t="s">
        <v>14</v>
      </c>
    </row>
    <row r="30" spans="1:7" x14ac:dyDescent="0.3">
      <c r="A30" s="6">
        <v>46092</v>
      </c>
      <c r="B30" s="7" t="s">
        <v>40</v>
      </c>
      <c r="C30" s="7">
        <v>70</v>
      </c>
      <c r="D30" s="5">
        <f>SUM($C$2:C29)</f>
        <v>3459</v>
      </c>
      <c r="E30" s="7" t="s">
        <v>8</v>
      </c>
      <c r="F30" s="7"/>
      <c r="G30" s="8"/>
    </row>
    <row r="31" spans="1:7" x14ac:dyDescent="0.3">
      <c r="A31" s="12">
        <v>46093</v>
      </c>
      <c r="B31" s="5" t="s">
        <v>13</v>
      </c>
      <c r="C31">
        <v>40</v>
      </c>
      <c r="D31" s="5">
        <f>SUM($C$2:C30)</f>
        <v>3529</v>
      </c>
      <c r="E31" t="s">
        <v>8</v>
      </c>
      <c r="G31" s="5" t="s">
        <v>14</v>
      </c>
    </row>
    <row r="32" spans="1:7" x14ac:dyDescent="0.3">
      <c r="A32" s="12">
        <v>46093</v>
      </c>
      <c r="B32" s="5" t="s">
        <v>15</v>
      </c>
      <c r="C32">
        <v>40</v>
      </c>
      <c r="D32" s="5">
        <f>SUM($C$2:C31)</f>
        <v>3569</v>
      </c>
      <c r="E32" t="s">
        <v>8</v>
      </c>
      <c r="G32" s="5" t="s">
        <v>14</v>
      </c>
    </row>
    <row r="33" spans="1:7" x14ac:dyDescent="0.3">
      <c r="A33" s="12">
        <v>46094</v>
      </c>
      <c r="B33" s="5" t="s">
        <v>13</v>
      </c>
      <c r="C33">
        <v>40</v>
      </c>
      <c r="D33" s="5">
        <f>SUM($C$2:C32)</f>
        <v>3609</v>
      </c>
      <c r="E33" t="s">
        <v>8</v>
      </c>
      <c r="G33" s="5" t="s">
        <v>14</v>
      </c>
    </row>
    <row r="34" spans="1:7" x14ac:dyDescent="0.3">
      <c r="A34" s="12">
        <v>46094</v>
      </c>
      <c r="B34" s="5" t="s">
        <v>15</v>
      </c>
      <c r="C34">
        <v>47</v>
      </c>
      <c r="D34" s="5">
        <f>SUM($C$2:C33)</f>
        <v>3649</v>
      </c>
      <c r="E34" t="s">
        <v>8</v>
      </c>
      <c r="G34" s="5" t="s">
        <v>14</v>
      </c>
    </row>
    <row r="35" spans="1:7" x14ac:dyDescent="0.3">
      <c r="D35" s="5">
        <f>SUM($C$2:C34)</f>
        <v>3696</v>
      </c>
    </row>
    <row r="36" spans="1:7" x14ac:dyDescent="0.3">
      <c r="D36" s="5">
        <f>SUM($C$2:C35)</f>
        <v>3696</v>
      </c>
    </row>
    <row r="37" spans="1:7" x14ac:dyDescent="0.3">
      <c r="D37" s="5">
        <f>SUM($C$2:C36)</f>
        <v>3696</v>
      </c>
    </row>
    <row r="38" spans="1:7" x14ac:dyDescent="0.3">
      <c r="D38" s="5">
        <f>SUM($C$2:C37)</f>
        <v>3696</v>
      </c>
    </row>
    <row r="39" spans="1:7" x14ac:dyDescent="0.3">
      <c r="D39" s="5">
        <f>SUM($C$2:C38)</f>
        <v>3696</v>
      </c>
    </row>
    <row r="40" spans="1:7" x14ac:dyDescent="0.3">
      <c r="D40" s="5">
        <f>SUM($C$2:C39)</f>
        <v>3696</v>
      </c>
    </row>
    <row r="41" spans="1:7" x14ac:dyDescent="0.3">
      <c r="D41" s="5">
        <f>SUM($C$2:C40)</f>
        <v>3696</v>
      </c>
    </row>
    <row r="42" spans="1:7" x14ac:dyDescent="0.3">
      <c r="D42" s="5">
        <f>SUM($C$2:C41)</f>
        <v>3696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Mahida</cp:lastModifiedBy>
  <dcterms:created xsi:type="dcterms:W3CDTF">2026-03-10T15:06:35Z</dcterms:created>
  <dcterms:modified xsi:type="dcterms:W3CDTF">2026-03-14T09:15:58Z</dcterms:modified>
</cp:coreProperties>
</file>